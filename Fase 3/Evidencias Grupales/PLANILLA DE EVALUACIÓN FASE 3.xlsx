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_fecifu\DUOC UC\2025-02\Capstone\Grupo 19\"/>
    </mc:Choice>
  </mc:AlternateContent>
  <xr:revisionPtr revIDLastSave="0" documentId="13_ncr:1_{AF9E181B-65FB-44A0-8695-2763EEA919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<sst xmlns="http://schemas.openxmlformats.org/spreadsheetml/2006/main" count="164" uniqueCount="66">
  <si>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</si>
  <si>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</si>
  <si>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</si>
  <si>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</si>
  <si>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</si>
  <si>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</si>
  <si>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</si>
  <si>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</si>
  <si>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</si>
  <si>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</si>
  <si>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</si>
  <si>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</si>
  <si>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</si>
  <si>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</si>
  <si>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</si>
  <si>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</si>
  <si>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</si>
  <si>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</si>
  <si>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</si>
  <si>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</si>
  <si>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</si>
  <si>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</si>
  <si>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</si>
  <si>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</si>
  <si>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</si>
  <si>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</si>
  <si>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</si>
  <si>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</si>
  <si>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</si>
  <si>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</si>
  <si>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</si>
  <si>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</si>
  <si>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</si>
  <si>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</si>
  <si>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</si>
  <si>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</si>
  <si>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</si>
  <si>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</si>
  <si>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</si>
  <si>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</si>
  <si>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</si>
  <si>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</si>
  <si>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</si>
  <si>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</si>
  <si>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</si>
  <si>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</si>
  <si>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</si>
  <si>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</si>
  <si>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</si>
  <si>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</si>
  <si>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</si>
  <si>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</si>
  <si>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</si>
  <si>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</si>
  <si>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</si>
  <si>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</si>
  <si>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</si>
  <si>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</si>
  <si>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</si>
  <si>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</si>
  <si>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</si>
  <si>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</si>
  <si>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</si>
  <si>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ALVAREZ FUENTES CRISTIAN RODRIGO</t>
  </si>
  <si>
    <t>COLOMA CONTRERAS MATIAS IGNACIO</t>
  </si>
  <si>
    <t>MUNOZ PALACIOS ULISES ALEJANDRO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</si>
</sst>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topLeftCell="A2" zoomScale="120" zoomScaleNormal="120" workbookViewId="0">
      <selection activeCell="B9" sqref="B9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16" t="s">
        <v>63</v>
      </c>
      <c r="C4" s="31">
        <f>C21</f>
        <v>7</v>
      </c>
      <c r="D4" s="37">
        <f>C60</f>
        <v>7</v>
      </c>
      <c r="E4" s="36">
        <f>C4*C$2+D4*D$2</f>
        <v>7</v>
      </c>
    </row>
    <row r="5" spans="1:11" x14ac:dyDescent="0.25">
      <c r="A5" s="3">
        <v>2</v>
      </c>
      <c r="B5" s="16" t="s">
        <v>64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x14ac:dyDescent="0.25">
      <c r="A6" s="3">
        <v>3</v>
      </c>
      <c r="B6" s="16" t="s">
        <v>65</v>
      </c>
      <c r="C6" s="31">
        <f>C47</f>
        <v>7</v>
      </c>
      <c r="D6" s="37">
        <f>C86</f>
        <v>7</v>
      </c>
      <c r="E6" s="36">
        <f t="shared" si="0"/>
        <v>7</v>
      </c>
    </row>
    <row r="11" spans="1:11" ht="18.75" outlineLevel="1" x14ac:dyDescent="0.25">
      <c r="A11" s="39" t="s">
        <v>4</v>
      </c>
      <c r="B11" s="11" t="str">
        <f>B4</f>
        <v>ALVAREZ FUENTES CRISTIAN RODRIGO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 x14ac:dyDescent="0.25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25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25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25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36" outlineLevel="1" x14ac:dyDescent="0.25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25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">
      <c r="A20" s="40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1" t="s">
        <v>13</v>
      </c>
      <c r="C21" s="14">
        <f>VLOOKUP(C20,ESCALA_IEP!A2:B202,2,FALSE)</f>
        <v>7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39" t="s">
        <v>4</v>
      </c>
      <c r="B24" s="11" t="str">
        <f>B5</f>
        <v>COLOMA CONTRERAS MATIAS IGNACIO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5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5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5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5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5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5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">
      <c r="A33" s="40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1" t="s">
        <v>13</v>
      </c>
      <c r="C34" s="14">
        <f>VLOOKUP(C33,ESCALA_IEP!A15:B215,2,FALSE)</f>
        <v>7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39" t="s">
        <v>4</v>
      </c>
      <c r="B37" s="11" t="str">
        <f>B6</f>
        <v>MUNOZ PALACIOS ULISES ALEJANDRO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5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5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5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5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5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5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">
      <c r="A46" s="40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1" t="s">
        <v>13</v>
      </c>
      <c r="C47" s="14">
        <f>VLOOKUP(C46,ESCALA_IEP!A28:B228,2,FALSE)</f>
        <v>7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48" t="s">
        <v>14</v>
      </c>
      <c r="B50" s="11" t="str">
        <f>B4</f>
        <v>ALVAREZ FUENTES CRISTIAN RODRIGO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5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5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5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5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5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5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5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">
      <c r="A59" s="40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1" t="s">
        <v>13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48" t="s">
        <v>15</v>
      </c>
      <c r="B63" s="11" t="str">
        <f>B5</f>
        <v>COLOMA CONTRERAS MATIAS IGNACIO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5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5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5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5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5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5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5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">
      <c r="A72" s="40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1" t="s">
        <v>13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48" t="s">
        <v>16</v>
      </c>
      <c r="B76" s="11" t="str">
        <f>B6</f>
        <v>MUNOZ PALACIOS ULISES ALEJANDRO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5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5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5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5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5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5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5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">
      <c r="A85" s="40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1" t="s">
        <v>13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25">
      <c r="A3" s="50"/>
      <c r="B3" s="55"/>
      <c r="C3" s="55"/>
      <c r="D3" s="27">
        <v>0.3</v>
      </c>
      <c r="E3" s="27">
        <v>0</v>
      </c>
      <c r="F3" s="50"/>
    </row>
    <row r="4" spans="1:6" ht="102" x14ac:dyDescent="0.25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 x14ac:dyDescent="0.25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5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 x14ac:dyDescent="0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 x14ac:dyDescent="0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 x14ac:dyDescent="0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5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Felix Cifuentes Cid</cp:lastModifiedBy>
  <cp:revision/>
  <dcterms:created xsi:type="dcterms:W3CDTF">2023-08-07T04:08:01Z</dcterms:created>
  <dcterms:modified xsi:type="dcterms:W3CDTF">2025-12-10T05:11:06Z</dcterms:modified>
  <cp:category/>
  <cp:contentStatus/>
</cp:coreProperties>
</file>